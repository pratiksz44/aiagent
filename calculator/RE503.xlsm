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NVOICE" sheetId="1" r:id="rId5"/>
  </sheets>
  <definedNames/>
  <calcPr/>
  <extLst>
    <ext uri="GoogleSheetsCustomDataVersion2">
      <go:sheetsCustomData xmlns:go="http://customooxmlschemas.google.com/" r:id="rId6" roundtripDataChecksum="skhykXhgTAQsXWIjcebFiSVGsbYRhlyunzXOiZOC8FQ="/>
    </ext>
  </extLst>
</workbook>
</file>

<file path=xl/sharedStrings.xml><?xml version="1.0" encoding="utf-8"?>
<sst xmlns="http://schemas.openxmlformats.org/spreadsheetml/2006/main" count="54" uniqueCount="54">
  <si>
    <t>Original For Recipient.</t>
  </si>
  <si>
    <t>RAJ ENGINEERING</t>
  </si>
  <si>
    <t xml:space="preserve"> AT- JUNCTION, PO- LASURNE, TAL- INDAPUR, DIST-PUNE 413114 (Maharashtra).</t>
  </si>
  <si>
    <t>GSTIN:- 27AAAPZ8810F1ZI</t>
  </si>
  <si>
    <t>INVOICE NO:-</t>
  </si>
  <si>
    <t>RE 503/2026</t>
  </si>
  <si>
    <t>DESCRIPTION OF GOODS :-   Part of  Sugar M/C</t>
  </si>
  <si>
    <t>DATE :-  30/03/2026</t>
  </si>
  <si>
    <t>DeliveryChallan No.</t>
  </si>
  <si>
    <t>VENDOR CODE :-2000109</t>
  </si>
  <si>
    <t>P.O. NO.:- 4500078389</t>
  </si>
  <si>
    <t>State Code :-  27</t>
  </si>
  <si>
    <t>Date:-              08/07/2024</t>
  </si>
  <si>
    <t>INCOME TAX PAN / GIR NO :-  AAAPZ8810F</t>
  </si>
  <si>
    <t xml:space="preserve">Mode Of Transport - By Road / LR NO.- </t>
  </si>
  <si>
    <t xml:space="preserve">TAX INVOICE   </t>
  </si>
  <si>
    <t>Details Of Receiver (Billed to) :-</t>
  </si>
  <si>
    <t>Details Of Consignee (Shipped to) :-</t>
  </si>
  <si>
    <t>Name :- Walchandnagar Industries Ltd. Walchandnagar</t>
  </si>
  <si>
    <t xml:space="preserve">Name :- </t>
  </si>
  <si>
    <t xml:space="preserve">Address :- A/P:- Walchandnagar, Tal:-Indapur, Dist:- Pune </t>
  </si>
  <si>
    <t>Address :-</t>
  </si>
  <si>
    <t>State :-Maharashtra</t>
  </si>
  <si>
    <t xml:space="preserve">State :- </t>
  </si>
  <si>
    <t>State Code :- 27</t>
  </si>
  <si>
    <t>State Code :-</t>
  </si>
  <si>
    <t>GSTIN:-27AAACW0541M1Z9</t>
  </si>
  <si>
    <t>GSTIN :-</t>
  </si>
  <si>
    <t>ARN:-AA270417097506S</t>
  </si>
  <si>
    <t>Sr. No.</t>
  </si>
  <si>
    <t>Description</t>
  </si>
  <si>
    <t>HSN Code</t>
  </si>
  <si>
    <t>Total Qty</t>
  </si>
  <si>
    <t xml:space="preserve">Rate  Rs.          </t>
  </si>
  <si>
    <t>Amount  Rs.</t>
  </si>
  <si>
    <t>1)</t>
  </si>
  <si>
    <t>HX HD Bolt M24X3X580MM E-89017/C</t>
  </si>
  <si>
    <t>8X</t>
  </si>
  <si>
    <t>Total Taxable Value</t>
  </si>
  <si>
    <t>CGST(In percent)</t>
  </si>
  <si>
    <t>ELECTRONIC REFERENCE NO. :-</t>
  </si>
  <si>
    <t>SGST(In percent)</t>
  </si>
  <si>
    <t>IGST-18%</t>
  </si>
  <si>
    <t>Freight</t>
  </si>
  <si>
    <t>Insurance</t>
  </si>
  <si>
    <t xml:space="preserve"> Total (In Words)  :-  </t>
  </si>
  <si>
    <t xml:space="preserve">                        Packing &amp; Forwarding</t>
  </si>
  <si>
    <t>Grand Total</t>
  </si>
  <si>
    <t>AMOUNT OF TAX SUBJECT TO REVERSE CHRGES:- NIL</t>
  </si>
  <si>
    <t xml:space="preserve">Certified that the particulars given above are true &amp; correct &amp; the amount indicated represents the Price Actually Charged &amp; that there is no flow of additional consideration directly or indirectly from the buyer. </t>
  </si>
  <si>
    <t>M/S-RAJ ENGINEERING</t>
  </si>
  <si>
    <t>S.M.ZAGADE PROPRIETOR</t>
  </si>
  <si>
    <t xml:space="preserve">                              Authorised Signatory   </t>
  </si>
  <si>
    <t>(1) Original For Recipient. (2) Duplicate For Transporter. (3) Triplicate For Supplier.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</si>
</sst>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8">
    <font>
      <sz val="12.0"/>
      <color rgb="FF000000"/>
      <name val="Bookman Old Style"/>
      <scheme val="minor"/>
    </font>
    <font>
      <sz val="12.0"/>
      <color theme="1"/>
      <name val="Bookman Old Style"/>
    </font>
    <font>
      <sz val="16.0"/>
      <color theme="1"/>
      <name val="Arial"/>
    </font>
    <font/>
    <font>
      <sz val="18.0"/>
      <color theme="1"/>
      <name val="Arial"/>
    </font>
    <font>
      <b/>
      <sz val="10.0"/>
      <color theme="1"/>
      <name val="Arial"/>
    </font>
    <font>
      <b/>
      <sz val="28.0"/>
      <color theme="1"/>
      <name val="Arial Black"/>
    </font>
    <font>
      <b/>
      <sz val="12.0"/>
      <color theme="1"/>
      <name val="Arial"/>
    </font>
    <font>
      <b/>
      <sz val="11.0"/>
      <color theme="1"/>
      <name val="Arial"/>
    </font>
    <font>
      <b/>
      <sz val="20.0"/>
      <color theme="1"/>
      <name val="Arial"/>
    </font>
    <font>
      <sz val="10.0"/>
      <color theme="1"/>
      <name val="Arial"/>
    </font>
    <font>
      <b/>
      <sz val="12.0"/>
      <color theme="1"/>
      <name val="Bookman Old Style"/>
    </font>
    <font>
      <sz val="12.0"/>
      <color theme="1"/>
      <name val="Arial"/>
    </font>
    <font>
      <sz val="10.0"/>
      <color theme="1"/>
      <name val="Bookman Old Style"/>
    </font>
    <font>
      <sz val="11.0"/>
      <color theme="1"/>
      <name val="Arial"/>
    </font>
    <font>
      <sz val="9.0"/>
      <color theme="1"/>
      <name val="Arial"/>
    </font>
    <font>
      <b/>
      <sz val="14.0"/>
      <color theme="1"/>
      <name val="Arial"/>
    </font>
    <font>
      <b/>
      <sz val="10.0"/>
      <color theme="1"/>
      <name val="Bookman Old Style"/>
    </font>
  </fonts>
  <fills count="2">
    <fill>
      <patternFill patternType="none"/>
    </fill>
    <fill>
      <patternFill patternType="lightGray"/>
    </fill>
  </fills>
  <borders count="88">
    <border/>
    <border>
      <left style="medium">
        <color rgb="FF000000"/>
      </left>
      <top style="medium">
        <color rgb="FF000000"/>
      </top>
      <bottom/>
    </border>
    <border>
      <top style="medium">
        <color rgb="FF000000"/>
      </top>
      <bottom/>
    </border>
    <border>
      <right/>
      <top style="medium">
        <color rgb="FF000000"/>
      </top>
      <bottom/>
    </border>
    <border>
      <left/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 style="medium">
        <color rgb="FF000000"/>
      </left>
      <top/>
      <bottom/>
    </border>
    <border>
      <top/>
      <bottom/>
    </border>
    <border>
      <right style="medium">
        <color rgb="FF000000"/>
      </right>
      <top/>
      <bottom/>
    </border>
    <border>
      <left style="medium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medium">
        <color rgb="FF000000"/>
      </right>
      <top/>
      <bottom style="thin">
        <color rgb="FF000000"/>
      </bottom>
    </border>
    <border>
      <left style="medium">
        <color rgb="FF000000"/>
      </left>
      <top style="thin">
        <color rgb="FF000000"/>
      </top>
      <bottom style="hair">
        <color rgb="FF000000"/>
      </bottom>
    </border>
    <border>
      <top style="thin">
        <color rgb="FF000000"/>
      </top>
      <bottom style="hair">
        <color rgb="FF000000"/>
      </bottom>
    </border>
    <border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right style="thin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top style="hair">
        <color rgb="FF000000"/>
      </top>
      <bottom style="thin">
        <color rgb="FF000000"/>
      </bottom>
    </border>
    <border>
      <top style="hair">
        <color rgb="FF000000"/>
      </top>
      <bottom style="thin">
        <color rgb="FF000000"/>
      </bottom>
    </border>
    <border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bottom style="hair">
        <color rgb="FF000000"/>
      </bottom>
    </border>
    <border>
      <bottom style="hair">
        <color rgb="FF000000"/>
      </bottom>
    </border>
    <border>
      <right style="medium">
        <color rgb="FF000000"/>
      </right>
      <bottom style="hair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hair">
        <color rgb="FF000000"/>
      </top>
      <bottom style="thin">
        <color rgb="FF000000"/>
      </bottom>
    </border>
    <border>
      <right style="medium">
        <color rgb="FF000000"/>
      </right>
      <top style="hair">
        <color rgb="FF000000"/>
      </top>
      <bottom style="thin">
        <color rgb="FF000000"/>
      </bottom>
    </border>
    <border>
      <left style="medium">
        <color rgb="FF000000"/>
      </lef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top style="thin">
        <color rgb="FF000000"/>
      </top>
      <bottom style="medium">
        <color rgb="FF000000"/>
      </bottom>
    </border>
    <border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hair">
        <color rgb="FF000000"/>
      </bottom>
    </border>
    <border>
      <top style="medium">
        <color rgb="FF000000"/>
      </top>
      <bottom style="hair">
        <color rgb="FF000000"/>
      </bottom>
    </border>
    <border>
      <right style="medium">
        <color rgb="FF000000"/>
      </right>
      <top style="medium">
        <color rgb="FF000000"/>
      </top>
      <bottom style="hair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top style="hair">
        <color rgb="FF000000"/>
      </top>
    </border>
    <border>
      <top style="hair">
        <color rgb="FF000000"/>
      </top>
    </border>
    <border>
      <right style="medium">
        <color rgb="FF000000"/>
      </right>
      <top style="hair">
        <color rgb="FF000000"/>
      </top>
    </border>
    <border>
      <left style="medium">
        <color rgb="FF000000"/>
      </left>
      <bottom style="hair">
        <color rgb="FF000000"/>
      </bottom>
    </border>
    <border>
      <right style="medium">
        <color rgb="FF000000"/>
      </right>
      <top style="hair">
        <color rgb="FF000000"/>
      </top>
      <bottom style="hair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medium">
        <color rgb="FF000000"/>
      </right>
    </border>
    <border>
      <left style="thin">
        <color rgb="FF000000"/>
      </left>
      <right style="thin">
        <color rgb="FF000000"/>
      </right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n">
        <color rgb="FF000000"/>
      </right>
      <bottom style="medium">
        <color rgb="FF000000"/>
      </bottom>
    </border>
    <border>
      <left style="thin">
        <color rgb="FF000000"/>
      </left>
      <right style="thin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thin">
        <color rgb="FF000000"/>
      </right>
      <top style="medium">
        <color rgb="FF000000"/>
      </top>
    </border>
    <border>
      <left style="thin">
        <color rgb="FF000000"/>
      </left>
      <top style="medium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hair">
        <color rgb="FF000000"/>
      </top>
      <bottom style="hair">
        <color rgb="FF000000"/>
      </bottom>
    </border>
    <border>
      <left style="medium">
        <color rgb="FF000000"/>
      </left>
      <top style="thin">
        <color rgb="FF000000"/>
      </top>
    </border>
    <border>
      <left style="thin">
        <color rgb="FF000000"/>
      </left>
      <top style="hair">
        <color rgb="FF000000"/>
      </top>
    </border>
    <border>
      <right style="thin">
        <color rgb="FF000000"/>
      </right>
      <top style="hair">
        <color rgb="FF000000"/>
      </top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/>
      <right style="medium">
        <color rgb="FF000000"/>
      </right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15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1" fillId="0" fontId="2" numFmtId="0" xfId="0" applyAlignment="1" applyBorder="1" applyFont="1">
      <alignment horizontal="left"/>
    </xf>
    <xf borderId="2" fillId="0" fontId="3" numFmtId="0" xfId="0" applyBorder="1" applyFont="1"/>
    <xf borderId="3" fillId="0" fontId="3" numFmtId="0" xfId="0" applyBorder="1" applyFont="1"/>
    <xf borderId="4" fillId="0" fontId="4" numFmtId="0" xfId="0" applyAlignment="1" applyBorder="1" applyFont="1">
      <alignment horizontal="center" vertical="center"/>
    </xf>
    <xf borderId="4" fillId="0" fontId="5" numFmtId="0" xfId="0" applyAlignment="1" applyBorder="1" applyFont="1">
      <alignment horizontal="right"/>
    </xf>
    <xf borderId="5" fillId="0" fontId="3" numFmtId="0" xfId="0" applyBorder="1" applyFont="1"/>
    <xf borderId="6" fillId="0" fontId="6" numFmtId="0" xfId="0" applyAlignment="1" applyBorder="1" applyFont="1">
      <alignment horizontal="center" vertical="center"/>
    </xf>
    <xf borderId="7" fillId="0" fontId="3" numFmtId="0" xfId="0" applyBorder="1" applyFont="1"/>
    <xf borderId="8" fillId="0" fontId="3" numFmtId="0" xfId="0" applyBorder="1" applyFont="1"/>
    <xf borderId="6" fillId="0" fontId="7" numFmtId="0" xfId="0" applyAlignment="1" applyBorder="1" applyFont="1">
      <alignment horizontal="center" vertical="center"/>
    </xf>
    <xf borderId="9" fillId="0" fontId="7" numFmtId="0" xfId="0" applyAlignment="1" applyBorder="1" applyFont="1">
      <alignment horizontal="center" vertical="center"/>
    </xf>
    <xf borderId="10" fillId="0" fontId="3" numFmtId="0" xfId="0" applyBorder="1" applyFont="1"/>
    <xf borderId="11" fillId="0" fontId="3" numFmtId="0" xfId="0" applyBorder="1" applyFont="1"/>
    <xf borderId="12" fillId="0" fontId="7" numFmtId="0" xfId="0" applyAlignment="1" applyBorder="1" applyFont="1">
      <alignment shrinkToFit="0" vertical="center" wrapText="1"/>
    </xf>
    <xf borderId="13" fillId="0" fontId="3" numFmtId="0" xfId="0" applyBorder="1" applyFont="1"/>
    <xf borderId="14" fillId="0" fontId="3" numFmtId="0" xfId="0" applyBorder="1" applyFont="1"/>
    <xf borderId="15" fillId="0" fontId="7" numFmtId="0" xfId="0" applyAlignment="1" applyBorder="1" applyFont="1">
      <alignment vertical="center"/>
    </xf>
    <xf borderId="16" fillId="0" fontId="7" numFmtId="0" xfId="0" applyAlignment="1" applyBorder="1" applyFont="1">
      <alignment vertical="center"/>
    </xf>
    <xf borderId="17" fillId="0" fontId="7" numFmtId="0" xfId="0" applyAlignment="1" applyBorder="1" applyFont="1">
      <alignment vertical="center"/>
    </xf>
    <xf borderId="18" fillId="0" fontId="7" numFmtId="0" xfId="0" applyAlignment="1" applyBorder="1" applyFont="1">
      <alignment shrinkToFit="0" vertical="center" wrapText="1"/>
    </xf>
    <xf borderId="19" fillId="0" fontId="3" numFmtId="0" xfId="0" applyBorder="1" applyFont="1"/>
    <xf borderId="20" fillId="0" fontId="3" numFmtId="0" xfId="0" applyBorder="1" applyFont="1"/>
    <xf borderId="15" fillId="0" fontId="7" numFmtId="0" xfId="0" applyAlignment="1" applyBorder="1" applyFont="1">
      <alignment horizontal="left" vertical="center"/>
    </xf>
    <xf borderId="16" fillId="0" fontId="3" numFmtId="0" xfId="0" applyBorder="1" applyFont="1"/>
    <xf borderId="17" fillId="0" fontId="3" numFmtId="0" xfId="0" applyBorder="1" applyFont="1"/>
    <xf borderId="15" fillId="0" fontId="8" numFmtId="0" xfId="0" applyAlignment="1" applyBorder="1" applyFont="1">
      <alignment shrinkToFit="0" vertical="center" wrapText="1"/>
    </xf>
    <xf borderId="16" fillId="0" fontId="7" numFmtId="0" xfId="0" applyAlignment="1" applyBorder="1" applyFont="1">
      <alignment shrinkToFit="0" vertical="center" wrapText="1"/>
    </xf>
    <xf borderId="17" fillId="0" fontId="7" numFmtId="0" xfId="0" applyAlignment="1" applyBorder="1" applyFont="1">
      <alignment shrinkToFit="0" vertical="center" wrapText="1"/>
    </xf>
    <xf borderId="21" fillId="0" fontId="7" numFmtId="0" xfId="0" applyAlignment="1" applyBorder="1" applyFont="1">
      <alignment shrinkToFit="0" vertical="center" wrapText="1"/>
    </xf>
    <xf borderId="22" fillId="0" fontId="3" numFmtId="0" xfId="0" applyBorder="1" applyFont="1"/>
    <xf borderId="23" fillId="0" fontId="3" numFmtId="0" xfId="0" applyBorder="1" applyFont="1"/>
    <xf borderId="24" fillId="0" fontId="7" numFmtId="0" xfId="0" applyAlignment="1" applyBorder="1" applyFont="1">
      <alignment horizontal="left" shrinkToFit="0" vertical="center" wrapText="1"/>
    </xf>
    <xf borderId="25" fillId="0" fontId="3" numFmtId="0" xfId="0" applyBorder="1" applyFont="1"/>
    <xf borderId="26" fillId="0" fontId="3" numFmtId="0" xfId="0" applyBorder="1" applyFont="1"/>
    <xf borderId="27" fillId="0" fontId="7" numFmtId="0" xfId="0" applyAlignment="1" applyBorder="1" applyFont="1">
      <alignment horizontal="left" vertical="center"/>
    </xf>
    <xf borderId="28" fillId="0" fontId="1" numFmtId="0" xfId="0" applyAlignment="1" applyBorder="1" applyFont="1">
      <alignment vertical="center"/>
    </xf>
    <xf borderId="16" fillId="0" fontId="1" numFmtId="0" xfId="0" applyAlignment="1" applyBorder="1" applyFont="1">
      <alignment vertical="center"/>
    </xf>
    <xf borderId="29" fillId="0" fontId="1" numFmtId="0" xfId="0" applyAlignment="1" applyBorder="1" applyFont="1">
      <alignment vertical="center"/>
    </xf>
    <xf borderId="30" fillId="0" fontId="7" numFmtId="0" xfId="0" applyAlignment="1" applyBorder="1" applyFont="1">
      <alignment horizontal="left" vertical="center"/>
    </xf>
    <xf borderId="31" fillId="0" fontId="3" numFmtId="0" xfId="0" applyBorder="1" applyFont="1"/>
    <xf borderId="32" fillId="0" fontId="7" numFmtId="0" xfId="0" applyAlignment="1" applyBorder="1" applyFont="1">
      <alignment vertical="center"/>
    </xf>
    <xf borderId="28" fillId="0" fontId="3" numFmtId="0" xfId="0" applyBorder="1" applyFont="1"/>
    <xf borderId="33" fillId="0" fontId="3" numFmtId="0" xfId="0" applyBorder="1" applyFont="1"/>
    <xf borderId="34" fillId="0" fontId="9" numFmtId="0" xfId="0" applyAlignment="1" applyBorder="1" applyFont="1">
      <alignment horizontal="center" vertical="center"/>
    </xf>
    <xf borderId="35" fillId="0" fontId="3" numFmtId="0" xfId="0" applyBorder="1" applyFont="1"/>
    <xf borderId="36" fillId="0" fontId="3" numFmtId="0" xfId="0" applyBorder="1" applyFont="1"/>
    <xf borderId="37" fillId="0" fontId="7" numFmtId="0" xfId="0" applyAlignment="1" applyBorder="1" applyFont="1">
      <alignment horizontal="left" shrinkToFit="0" vertical="center" wrapText="1"/>
    </xf>
    <xf borderId="38" fillId="0" fontId="3" numFmtId="0" xfId="0" applyBorder="1" applyFont="1"/>
    <xf borderId="39" fillId="0" fontId="3" numFmtId="0" xfId="0" applyBorder="1" applyFont="1"/>
    <xf borderId="40" fillId="0" fontId="7" numFmtId="0" xfId="0" applyAlignment="1" applyBorder="1" applyFont="1">
      <alignment vertical="center"/>
    </xf>
    <xf borderId="0" fillId="0" fontId="7" numFmtId="0" xfId="0" applyAlignment="1" applyFont="1">
      <alignment vertical="center"/>
    </xf>
    <xf borderId="41" fillId="0" fontId="10" numFmtId="0" xfId="0" applyAlignment="1" applyBorder="1" applyFont="1">
      <alignment vertical="center"/>
    </xf>
    <xf borderId="42" fillId="0" fontId="11" numFmtId="0" xfId="0" applyAlignment="1" applyBorder="1" applyFont="1">
      <alignment vertical="center"/>
    </xf>
    <xf borderId="43" fillId="0" fontId="3" numFmtId="0" xfId="0" applyBorder="1" applyFont="1"/>
    <xf borderId="44" fillId="0" fontId="3" numFmtId="0" xfId="0" applyBorder="1" applyFont="1"/>
    <xf borderId="0" fillId="0" fontId="12" numFmtId="0" xfId="0" applyAlignment="1" applyFont="1">
      <alignment vertical="center"/>
    </xf>
    <xf borderId="40" fillId="0" fontId="11" numFmtId="0" xfId="0" applyAlignment="1" applyBorder="1" applyFont="1">
      <alignment horizontal="center" vertical="center"/>
    </xf>
    <xf borderId="41" fillId="0" fontId="3" numFmtId="0" xfId="0" applyBorder="1" applyFont="1"/>
    <xf borderId="45" fillId="0" fontId="11" numFmtId="0" xfId="0" applyAlignment="1" applyBorder="1" applyFont="1">
      <alignment horizontal="center" vertical="center"/>
    </xf>
    <xf borderId="18" fillId="0" fontId="11" numFmtId="0" xfId="0" applyAlignment="1" applyBorder="1" applyFont="1">
      <alignment horizontal="left" vertical="center"/>
    </xf>
    <xf borderId="46" fillId="0" fontId="3" numFmtId="0" xfId="0" applyBorder="1" applyFont="1"/>
    <xf borderId="40" fillId="0" fontId="5" numFmtId="14" xfId="0" applyAlignment="1" applyBorder="1" applyFont="1" applyNumberFormat="1">
      <alignment vertical="center"/>
    </xf>
    <xf borderId="0" fillId="0" fontId="5" numFmtId="14" xfId="0" applyAlignment="1" applyFont="1" applyNumberFormat="1">
      <alignment vertical="center"/>
    </xf>
    <xf borderId="41" fillId="0" fontId="5" numFmtId="14" xfId="0" applyAlignment="1" applyBorder="1" applyFont="1" applyNumberFormat="1">
      <alignment vertical="center"/>
    </xf>
    <xf borderId="47" fillId="0" fontId="7" numFmtId="0" xfId="0" applyAlignment="1" applyBorder="1" applyFont="1">
      <alignment horizontal="center" shrinkToFit="0" vertical="center" wrapText="1"/>
    </xf>
    <xf borderId="48" fillId="0" fontId="7" numFmtId="0" xfId="0" applyAlignment="1" applyBorder="1" applyFont="1">
      <alignment horizontal="center" vertical="center"/>
    </xf>
    <xf borderId="49" fillId="0" fontId="3" numFmtId="0" xfId="0" applyBorder="1" applyFont="1"/>
    <xf borderId="50" fillId="0" fontId="3" numFmtId="0" xfId="0" applyBorder="1" applyFont="1"/>
    <xf borderId="51" fillId="0" fontId="7" numFmtId="0" xfId="0" applyAlignment="1" applyBorder="1" applyFont="1">
      <alignment horizontal="center" shrinkToFit="0" vertical="center" wrapText="1"/>
    </xf>
    <xf borderId="52" fillId="0" fontId="7" numFmtId="0" xfId="0" applyAlignment="1" applyBorder="1" applyFont="1">
      <alignment horizontal="center" shrinkToFit="0" vertical="center" wrapText="1"/>
    </xf>
    <xf borderId="53" fillId="0" fontId="3" numFmtId="0" xfId="0" applyBorder="1" applyFont="1"/>
    <xf borderId="54" fillId="0" fontId="3" numFmtId="0" xfId="0" applyBorder="1" applyFont="1"/>
    <xf borderId="55" fillId="0" fontId="3" numFmtId="0" xfId="0" applyBorder="1" applyFont="1"/>
    <xf borderId="56" fillId="0" fontId="3" numFmtId="0" xfId="0" applyBorder="1" applyFont="1"/>
    <xf borderId="47" fillId="0" fontId="12" numFmtId="0" xfId="0" applyAlignment="1" applyBorder="1" applyFont="1">
      <alignment vertical="center"/>
    </xf>
    <xf borderId="48" fillId="0" fontId="12" numFmtId="0" xfId="0" applyAlignment="1" applyBorder="1" applyFont="1">
      <alignment vertical="center"/>
    </xf>
    <xf borderId="48" fillId="0" fontId="12" numFmtId="0" xfId="0" applyAlignment="1" applyBorder="1" applyFont="1">
      <alignment horizontal="center" vertical="center"/>
    </xf>
    <xf borderId="48" fillId="0" fontId="12" numFmtId="2" xfId="0" applyAlignment="1" applyBorder="1" applyFont="1" applyNumberFormat="1">
      <alignment horizontal="center" vertical="center"/>
    </xf>
    <xf borderId="52" fillId="0" fontId="12" numFmtId="2" xfId="0" applyAlignment="1" applyBorder="1" applyFont="1" applyNumberFormat="1">
      <alignment horizontal="center" vertical="center"/>
    </xf>
    <xf borderId="57" fillId="0" fontId="12" numFmtId="0" xfId="0" applyAlignment="1" applyBorder="1" applyFont="1">
      <alignment vertical="center"/>
    </xf>
    <xf borderId="58" fillId="0" fontId="12" numFmtId="4" xfId="0" applyAlignment="1" applyBorder="1" applyFont="1" applyNumberFormat="1">
      <alignment vertical="center"/>
    </xf>
    <xf borderId="59" fillId="0" fontId="3" numFmtId="0" xfId="0" applyBorder="1" applyFont="1"/>
    <xf borderId="58" fillId="0" fontId="12" numFmtId="4" xfId="0" applyAlignment="1" applyBorder="1" applyFont="1" applyNumberFormat="1">
      <alignment horizontal="center" vertical="center"/>
    </xf>
    <xf borderId="60" fillId="0" fontId="12" numFmtId="4" xfId="0" applyAlignment="1" applyBorder="1" applyFont="1" applyNumberFormat="1">
      <alignment horizontal="center" vertical="center"/>
    </xf>
    <xf borderId="58" fillId="0" fontId="1" numFmtId="0" xfId="0" applyAlignment="1" applyBorder="1" applyFont="1">
      <alignment vertical="center"/>
    </xf>
    <xf borderId="60" fillId="0" fontId="12" numFmtId="4" xfId="0" applyAlignment="1" applyBorder="1" applyFont="1" applyNumberFormat="1">
      <alignment vertical="center"/>
    </xf>
    <xf borderId="61" fillId="0" fontId="12" numFmtId="4" xfId="0" applyAlignment="1" applyBorder="1" applyFont="1" applyNumberFormat="1">
      <alignment vertical="center"/>
    </xf>
    <xf borderId="58" fillId="0" fontId="12" numFmtId="0" xfId="0" applyAlignment="1" applyBorder="1" applyFont="1">
      <alignment vertical="center"/>
    </xf>
    <xf borderId="61" fillId="0" fontId="7" numFmtId="0" xfId="0" applyAlignment="1" applyBorder="1" applyFont="1">
      <alignment vertical="center"/>
    </xf>
    <xf borderId="58" fillId="0" fontId="7" numFmtId="0" xfId="0" applyAlignment="1" applyBorder="1" applyFont="1">
      <alignment vertical="center"/>
    </xf>
    <xf borderId="60" fillId="0" fontId="12" numFmtId="3" xfId="0" applyAlignment="1" applyBorder="1" applyFont="1" applyNumberFormat="1">
      <alignment vertical="center"/>
    </xf>
    <xf borderId="61" fillId="0" fontId="12" numFmtId="0" xfId="0" applyAlignment="1" applyBorder="1" applyFont="1">
      <alignment vertical="center"/>
    </xf>
    <xf borderId="60" fillId="0" fontId="7" numFmtId="3" xfId="0" applyAlignment="1" applyBorder="1" applyFont="1" applyNumberFormat="1">
      <alignment vertical="center"/>
    </xf>
    <xf borderId="55" fillId="0" fontId="1" numFmtId="0" xfId="0" applyAlignment="1" applyBorder="1" applyFont="1">
      <alignment vertical="center"/>
    </xf>
    <xf borderId="55" fillId="0" fontId="12" numFmtId="0" xfId="0" applyAlignment="1" applyBorder="1" applyFont="1">
      <alignment vertical="center"/>
    </xf>
    <xf borderId="56" fillId="0" fontId="12" numFmtId="3" xfId="0" applyAlignment="1" applyBorder="1" applyFont="1" applyNumberFormat="1">
      <alignment vertical="center"/>
    </xf>
    <xf borderId="62" fillId="0" fontId="12" numFmtId="0" xfId="0" applyAlignment="1" applyBorder="1" applyFont="1">
      <alignment vertical="center"/>
    </xf>
    <xf borderId="63" fillId="0" fontId="12" numFmtId="0" xfId="0" applyAlignment="1" applyBorder="1" applyFont="1">
      <alignment vertical="center"/>
    </xf>
    <xf borderId="64" fillId="0" fontId="3" numFmtId="0" xfId="0" applyBorder="1" applyFont="1"/>
    <xf borderId="65" fillId="0" fontId="3" numFmtId="0" xfId="0" applyBorder="1" applyFont="1"/>
    <xf borderId="66" fillId="0" fontId="12" numFmtId="0" xfId="0" applyAlignment="1" applyBorder="1" applyFont="1">
      <alignment vertical="center"/>
    </xf>
    <xf borderId="64" fillId="0" fontId="13" numFmtId="0" xfId="0" applyAlignment="1" applyBorder="1" applyFont="1">
      <alignment vertical="center"/>
    </xf>
    <xf borderId="56" fillId="0" fontId="12" numFmtId="4" xfId="0" applyAlignment="1" applyBorder="1" applyFont="1" applyNumberFormat="1">
      <alignment horizontal="center" vertical="center"/>
    </xf>
    <xf borderId="67" fillId="0" fontId="14" numFmtId="0" xfId="0" applyAlignment="1" applyBorder="1" applyFont="1">
      <alignment shrinkToFit="0" vertical="top" wrapText="1"/>
    </xf>
    <xf borderId="68" fillId="0" fontId="14" numFmtId="0" xfId="0" applyAlignment="1" applyBorder="1" applyFont="1">
      <alignment shrinkToFit="0" vertical="top" wrapText="1"/>
    </xf>
    <xf borderId="69" fillId="0" fontId="14" numFmtId="0" xfId="0" applyAlignment="1" applyBorder="1" applyFont="1">
      <alignment shrinkToFit="0" vertical="top" wrapText="1"/>
    </xf>
    <xf borderId="70" fillId="0" fontId="12" numFmtId="0" xfId="0" applyAlignment="1" applyBorder="1" applyFont="1">
      <alignment horizontal="right" vertical="center"/>
    </xf>
    <xf borderId="71" fillId="0" fontId="12" numFmtId="9" xfId="0" applyAlignment="1" applyBorder="1" applyFont="1" applyNumberFormat="1">
      <alignment horizontal="center" vertical="center"/>
    </xf>
    <xf borderId="72" fillId="0" fontId="12" numFmtId="4" xfId="0" applyAlignment="1" applyBorder="1" applyFont="1" applyNumberFormat="1">
      <alignment horizontal="center" vertical="center"/>
    </xf>
    <xf borderId="40" fillId="0" fontId="7" numFmtId="0" xfId="0" applyAlignment="1" applyBorder="1" applyFont="1">
      <alignment horizontal="center" shrinkToFit="0" vertical="top" wrapText="1"/>
    </xf>
    <xf borderId="30" fillId="0" fontId="12" numFmtId="0" xfId="0" applyAlignment="1" applyBorder="1" applyFont="1">
      <alignment horizontal="right" vertical="center"/>
    </xf>
    <xf borderId="73" fillId="0" fontId="12" numFmtId="9" xfId="0" applyAlignment="1" applyBorder="1" applyFont="1" applyNumberFormat="1">
      <alignment horizontal="center" vertical="center"/>
    </xf>
    <xf borderId="74" fillId="0" fontId="12" numFmtId="4" xfId="0" applyAlignment="1" applyBorder="1" applyFont="1" applyNumberFormat="1">
      <alignment horizontal="center" vertical="center"/>
    </xf>
    <xf borderId="32" fillId="0" fontId="14" numFmtId="0" xfId="0" applyAlignment="1" applyBorder="1" applyFont="1">
      <alignment shrinkToFit="0" vertical="top" wrapText="1"/>
    </xf>
    <xf borderId="28" fillId="0" fontId="14" numFmtId="0" xfId="0" applyAlignment="1" applyBorder="1" applyFont="1">
      <alignment shrinkToFit="0" vertical="top" wrapText="1"/>
    </xf>
    <xf borderId="33" fillId="0" fontId="14" numFmtId="0" xfId="0" applyAlignment="1" applyBorder="1" applyFont="1">
      <alignment shrinkToFit="0" vertical="top" wrapText="1"/>
    </xf>
    <xf borderId="15" fillId="0" fontId="12" numFmtId="0" xfId="0" applyAlignment="1" applyBorder="1" applyFont="1">
      <alignment horizontal="right" vertical="center"/>
    </xf>
    <xf borderId="56" fillId="0" fontId="15" numFmtId="3" xfId="0" applyAlignment="1" applyBorder="1" applyFont="1" applyNumberFormat="1">
      <alignment vertical="center"/>
    </xf>
    <xf borderId="40" fillId="0" fontId="14" numFmtId="0" xfId="0" applyAlignment="1" applyBorder="1" applyFont="1">
      <alignment shrinkToFit="0" vertical="top" wrapText="1"/>
    </xf>
    <xf borderId="0" fillId="0" fontId="14" numFmtId="0" xfId="0" applyAlignment="1" applyFont="1">
      <alignment shrinkToFit="0" vertical="top" wrapText="1"/>
    </xf>
    <xf borderId="75" fillId="0" fontId="12" numFmtId="0" xfId="0" applyAlignment="1" applyBorder="1" applyFont="1">
      <alignment horizontal="right" vertical="center"/>
    </xf>
    <xf borderId="46" fillId="0" fontId="15" numFmtId="3" xfId="0" applyAlignment="1" applyBorder="1" applyFont="1" applyNumberFormat="1">
      <alignment vertical="center"/>
    </xf>
    <xf borderId="26" fillId="0" fontId="15" numFmtId="3" xfId="0" applyAlignment="1" applyBorder="1" applyFont="1" applyNumberFormat="1">
      <alignment vertical="center"/>
    </xf>
    <xf borderId="76" fillId="0" fontId="7" numFmtId="0" xfId="0" applyAlignment="1" applyBorder="1" applyFont="1">
      <alignment vertical="center"/>
    </xf>
    <xf borderId="77" fillId="0" fontId="1" numFmtId="0" xfId="0" applyAlignment="1" applyBorder="1" applyFont="1">
      <alignment horizontal="center" vertical="center"/>
    </xf>
    <xf borderId="78" fillId="0" fontId="3" numFmtId="0" xfId="0" applyBorder="1" applyFont="1"/>
    <xf borderId="79" fillId="0" fontId="15" numFmtId="3" xfId="0" applyAlignment="1" applyBorder="1" applyFont="1" applyNumberFormat="1">
      <alignment vertical="center"/>
    </xf>
    <xf borderId="27" fillId="0" fontId="7" numFmtId="0" xfId="0" applyAlignment="1" applyBorder="1" applyFont="1">
      <alignment horizontal="center" vertical="center"/>
    </xf>
    <xf borderId="29" fillId="0" fontId="3" numFmtId="0" xfId="0" applyBorder="1" applyFont="1"/>
    <xf borderId="80" fillId="0" fontId="15" numFmtId="3" xfId="0" applyAlignment="1" applyBorder="1" applyFont="1" applyNumberFormat="1">
      <alignment vertical="center"/>
    </xf>
    <xf borderId="32" fillId="0" fontId="12" numFmtId="0" xfId="0" applyAlignment="1" applyBorder="1" applyFont="1">
      <alignment horizontal="left" vertical="center"/>
    </xf>
    <xf borderId="81" fillId="0" fontId="7" numFmtId="0" xfId="0" applyAlignment="1" applyBorder="1" applyFont="1">
      <alignment horizontal="right" vertical="center"/>
    </xf>
    <xf borderId="82" fillId="0" fontId="3" numFmtId="0" xfId="0" applyBorder="1" applyFont="1"/>
    <xf borderId="83" fillId="0" fontId="16" numFmtId="4" xfId="0" applyAlignment="1" applyBorder="1" applyFont="1" applyNumberFormat="1">
      <alignment horizontal="center" vertical="center"/>
    </xf>
    <xf borderId="76" fillId="0" fontId="5" numFmtId="0" xfId="0" applyAlignment="1" applyBorder="1" applyFont="1">
      <alignment horizontal="center" shrinkToFit="0" vertical="center" wrapText="1"/>
    </xf>
    <xf borderId="84" fillId="0" fontId="3" numFmtId="0" xfId="0" applyBorder="1" applyFont="1"/>
    <xf borderId="32" fillId="0" fontId="3" numFmtId="0" xfId="0" applyBorder="1" applyFont="1"/>
    <xf borderId="85" fillId="0" fontId="3" numFmtId="0" xfId="0" applyBorder="1" applyFont="1"/>
    <xf borderId="76" fillId="0" fontId="12" numFmtId="0" xfId="0" applyAlignment="1" applyBorder="1" applyFont="1">
      <alignment horizontal="left" shrinkToFit="0" vertical="center" wrapText="1"/>
    </xf>
    <xf borderId="48" fillId="0" fontId="8" numFmtId="2" xfId="0" applyAlignment="1" applyBorder="1" applyFont="1" applyNumberFormat="1">
      <alignment horizontal="center" vertical="center"/>
    </xf>
    <xf borderId="40" fillId="0" fontId="3" numFmtId="0" xfId="0" applyBorder="1" applyFont="1"/>
    <xf borderId="58" fillId="0" fontId="10" numFmtId="2" xfId="0" applyAlignment="1" applyBorder="1" applyFont="1" applyNumberFormat="1">
      <alignment vertical="center"/>
    </xf>
    <xf borderId="41" fillId="0" fontId="10" numFmtId="2" xfId="0" applyAlignment="1" applyBorder="1" applyFont="1" applyNumberFormat="1">
      <alignment vertical="center"/>
    </xf>
    <xf borderId="58" fillId="0" fontId="8" numFmtId="2" xfId="0" applyAlignment="1" applyBorder="1" applyFont="1" applyNumberFormat="1">
      <alignment horizontal="center" vertical="center"/>
    </xf>
    <xf borderId="54" fillId="0" fontId="8" numFmtId="2" xfId="0" applyBorder="1" applyFont="1" applyNumberFormat="1"/>
    <xf borderId="85" fillId="0" fontId="8" numFmtId="2" xfId="0" applyBorder="1" applyFont="1" applyNumberFormat="1"/>
    <xf borderId="40" fillId="0" fontId="11" numFmtId="0" xfId="0" applyAlignment="1" applyBorder="1" applyFont="1">
      <alignment vertical="center"/>
    </xf>
    <xf borderId="0" fillId="0" fontId="11" numFmtId="0" xfId="0" applyAlignment="1" applyFont="1">
      <alignment vertical="center"/>
    </xf>
    <xf borderId="0" fillId="0" fontId="17" numFmtId="0" xfId="0" applyAlignment="1" applyFont="1">
      <alignment vertical="center"/>
    </xf>
    <xf borderId="41" fillId="0" fontId="17" numFmtId="0" xfId="0" applyAlignment="1" applyBorder="1" applyFont="1">
      <alignment vertical="center"/>
    </xf>
    <xf borderId="86" fillId="0" fontId="11" numFmtId="0" xfId="0" applyAlignment="1" applyBorder="1" applyFont="1">
      <alignment vertical="center"/>
    </xf>
    <xf borderId="64" fillId="0" fontId="11" numFmtId="0" xfId="0" applyAlignment="1" applyBorder="1" applyFont="1">
      <alignment vertical="center"/>
    </xf>
    <xf borderId="87" fillId="0" fontId="11" numFmtId="0" xfId="0" applyAlignment="1" applyBorder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Bookman Old Style"/>
        <a:ea typeface="Bookman Old Style"/>
        <a:cs typeface="Bookman Old Style"/>
      </a:majorFont>
      <a:minorFont>
        <a:latin typeface="Bookman Old Style"/>
        <a:ea typeface="Bookman Old Style"/>
        <a:cs typeface="Bookman Old Style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workbookViewId="0"/>
  </sheetViews>
  <sheetFormatPr customHeight="1" defaultColWidth="11.22" defaultRowHeight="15.0"/>
  <cols>
    <col customWidth="1" min="1" max="1" width="5.22"/>
    <col customWidth="1" min="2" max="2" width="11.0"/>
    <col customWidth="1" min="3" max="3" width="8.89"/>
    <col customWidth="1" hidden="1" min="4" max="4" width="6.67"/>
    <col customWidth="1" min="5" max="5" width="9.44"/>
    <col customWidth="1" min="6" max="6" width="11.67"/>
    <col customWidth="1" min="7" max="7" width="14.56"/>
    <col customWidth="1" min="8" max="8" width="15.44"/>
    <col customWidth="1" min="9" max="9" width="24.44"/>
    <col customWidth="1" min="10" max="26" width="8.56"/>
  </cols>
  <sheetData>
    <row r="1" ht="15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5.75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ht="15.75" customHeight="1">
      <c r="A3" s="2"/>
      <c r="B3" s="3"/>
      <c r="C3" s="4"/>
      <c r="D3" s="5"/>
      <c r="E3" s="3"/>
      <c r="F3" s="3"/>
      <c r="G3" s="4"/>
      <c r="H3" s="6" t="s">
        <v>0</v>
      </c>
      <c r="I3" s="7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ht="15.75" customHeight="1">
      <c r="A4" s="8" t="s">
        <v>1</v>
      </c>
      <c r="B4" s="9"/>
      <c r="C4" s="9"/>
      <c r="D4" s="9"/>
      <c r="E4" s="9"/>
      <c r="F4" s="9"/>
      <c r="G4" s="9"/>
      <c r="H4" s="9"/>
      <c r="I4" s="10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ht="15.75" customHeight="1">
      <c r="A5" s="11" t="s">
        <v>2</v>
      </c>
      <c r="B5" s="9"/>
      <c r="C5" s="9"/>
      <c r="D5" s="9"/>
      <c r="E5" s="9"/>
      <c r="F5" s="9"/>
      <c r="G5" s="9"/>
      <c r="H5" s="9"/>
      <c r="I5" s="10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ht="15.75" customHeight="1">
      <c r="A6" s="12"/>
      <c r="B6" s="13"/>
      <c r="C6" s="13"/>
      <c r="D6" s="13"/>
      <c r="E6" s="13"/>
      <c r="F6" s="13"/>
      <c r="G6" s="13"/>
      <c r="H6" s="13"/>
      <c r="I6" s="14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ht="24.0" customHeight="1">
      <c r="A7" s="15" t="s">
        <v>3</v>
      </c>
      <c r="B7" s="16"/>
      <c r="C7" s="16"/>
      <c r="D7" s="16"/>
      <c r="E7" s="16"/>
      <c r="F7" s="17"/>
      <c r="G7" s="18" t="s">
        <v>4</v>
      </c>
      <c r="H7" s="19" t="s">
        <v>5</v>
      </c>
      <c r="I7" s="20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ht="21.75" customHeight="1">
      <c r="A8" s="21" t="s">
        <v>6</v>
      </c>
      <c r="B8" s="22"/>
      <c r="C8" s="22"/>
      <c r="D8" s="22"/>
      <c r="E8" s="22"/>
      <c r="F8" s="23"/>
      <c r="G8" s="24" t="s">
        <v>7</v>
      </c>
      <c r="H8" s="25"/>
      <c r="I8" s="26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ht="24.75" customHeight="1">
      <c r="A9" s="21"/>
      <c r="B9" s="22"/>
      <c r="C9" s="22"/>
      <c r="D9" s="22"/>
      <c r="E9" s="22"/>
      <c r="F9" s="23"/>
      <c r="G9" s="27" t="s">
        <v>8</v>
      </c>
      <c r="H9" s="28" t="str">
        <f>H7</f>
        <v>RE 503/2026</v>
      </c>
      <c r="I9" s="29" t="str">
        <f>G8</f>
        <v>DATE :-  30/03/2026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ht="24.75" customHeight="1">
      <c r="A10" s="30" t="s">
        <v>9</v>
      </c>
      <c r="B10" s="31"/>
      <c r="C10" s="31"/>
      <c r="D10" s="31"/>
      <c r="E10" s="31"/>
      <c r="F10" s="32"/>
      <c r="G10" s="33" t="s">
        <v>10</v>
      </c>
      <c r="H10" s="34"/>
      <c r="I10" s="35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ht="23.25" customHeight="1">
      <c r="A11" s="36" t="s">
        <v>11</v>
      </c>
      <c r="B11" s="25"/>
      <c r="C11" s="25"/>
      <c r="D11" s="37"/>
      <c r="E11" s="38"/>
      <c r="F11" s="39"/>
      <c r="G11" s="40" t="s">
        <v>12</v>
      </c>
      <c r="H11" s="31"/>
      <c r="I11" s="4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ht="24.0" customHeight="1">
      <c r="A12" s="42" t="s">
        <v>13</v>
      </c>
      <c r="B12" s="43"/>
      <c r="C12" s="43"/>
      <c r="D12" s="43"/>
      <c r="E12" s="43"/>
      <c r="F12" s="44"/>
      <c r="G12" s="24" t="s">
        <v>14</v>
      </c>
      <c r="H12" s="25"/>
      <c r="I12" s="26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ht="30.0" customHeight="1">
      <c r="A13" s="45" t="s">
        <v>15</v>
      </c>
      <c r="B13" s="46"/>
      <c r="C13" s="46"/>
      <c r="D13" s="46"/>
      <c r="E13" s="46"/>
      <c r="F13" s="46"/>
      <c r="G13" s="46"/>
      <c r="H13" s="46"/>
      <c r="I13" s="47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ht="15.75" customHeight="1">
      <c r="A14" s="48" t="s">
        <v>16</v>
      </c>
      <c r="B14" s="49"/>
      <c r="C14" s="49"/>
      <c r="D14" s="49"/>
      <c r="E14" s="49"/>
      <c r="F14" s="50"/>
      <c r="G14" s="51" t="s">
        <v>17</v>
      </c>
      <c r="H14" s="52"/>
      <c r="I14" s="53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ht="15.75" customHeight="1">
      <c r="A15" s="54" t="s">
        <v>18</v>
      </c>
      <c r="B15" s="55"/>
      <c r="C15" s="55"/>
      <c r="D15" s="55"/>
      <c r="E15" s="55"/>
      <c r="F15" s="56"/>
      <c r="G15" s="51" t="s">
        <v>19</v>
      </c>
      <c r="H15" s="57"/>
      <c r="I15" s="53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15.75" customHeight="1">
      <c r="A16" s="58" t="s">
        <v>20</v>
      </c>
      <c r="F16" s="59"/>
      <c r="G16" s="51" t="s">
        <v>21</v>
      </c>
      <c r="H16" s="57"/>
      <c r="I16" s="53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ht="15.75" customHeight="1">
      <c r="A17" s="58" t="s">
        <v>22</v>
      </c>
      <c r="F17" s="59"/>
      <c r="G17" s="51" t="s">
        <v>23</v>
      </c>
      <c r="H17" s="57"/>
      <c r="I17" s="53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ht="15.75" customHeight="1">
      <c r="A18" s="60" t="s">
        <v>24</v>
      </c>
      <c r="B18" s="34"/>
      <c r="C18" s="34"/>
      <c r="D18" s="34"/>
      <c r="E18" s="34"/>
      <c r="F18" s="35"/>
      <c r="G18" s="51" t="s">
        <v>25</v>
      </c>
      <c r="H18" s="57"/>
      <c r="I18" s="53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ht="15.75" customHeight="1">
      <c r="A19" s="61" t="s">
        <v>26</v>
      </c>
      <c r="B19" s="22"/>
      <c r="C19" s="22"/>
      <c r="D19" s="22"/>
      <c r="E19" s="22"/>
      <c r="F19" s="62"/>
      <c r="G19" s="51" t="s">
        <v>27</v>
      </c>
      <c r="H19" s="57"/>
      <c r="I19" s="53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ht="15.75" customHeight="1">
      <c r="A20" s="61" t="s">
        <v>28</v>
      </c>
      <c r="B20" s="22"/>
      <c r="C20" s="22"/>
      <c r="D20" s="22"/>
      <c r="E20" s="22"/>
      <c r="F20" s="62"/>
      <c r="G20" s="63"/>
      <c r="H20" s="64"/>
      <c r="I20" s="65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66" t="s">
        <v>29</v>
      </c>
      <c r="B21" s="67" t="s">
        <v>30</v>
      </c>
      <c r="C21" s="68"/>
      <c r="D21" s="68"/>
      <c r="E21" s="69"/>
      <c r="F21" s="70" t="s">
        <v>31</v>
      </c>
      <c r="G21" s="70" t="s">
        <v>32</v>
      </c>
      <c r="H21" s="70" t="s">
        <v>33</v>
      </c>
      <c r="I21" s="71" t="s">
        <v>34</v>
      </c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1.25" customHeight="1">
      <c r="A22" s="72"/>
      <c r="B22" s="73"/>
      <c r="C22" s="43"/>
      <c r="D22" s="43"/>
      <c r="E22" s="44"/>
      <c r="F22" s="74"/>
      <c r="G22" s="74"/>
      <c r="H22" s="74"/>
      <c r="I22" s="75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76" t="s">
        <v>35</v>
      </c>
      <c r="B23" s="77" t="s">
        <v>36</v>
      </c>
      <c r="C23" s="68"/>
      <c r="D23" s="68"/>
      <c r="E23" s="69"/>
      <c r="F23" s="78">
        <v>7.31815E7</v>
      </c>
      <c r="G23" s="78" t="s">
        <v>37</v>
      </c>
      <c r="H23" s="79">
        <v>530.0</v>
      </c>
      <c r="I23" s="80">
        <f>8*530</f>
        <v>4240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81"/>
      <c r="B24" s="82"/>
      <c r="E24" s="83"/>
      <c r="F24" s="84"/>
      <c r="G24" s="84"/>
      <c r="H24" s="84"/>
      <c r="I24" s="85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81"/>
      <c r="B25" s="82"/>
      <c r="E25" s="83"/>
      <c r="F25" s="84"/>
      <c r="G25" s="84"/>
      <c r="H25" s="84"/>
      <c r="I25" s="85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81"/>
      <c r="B26" s="82"/>
      <c r="E26" s="83"/>
      <c r="F26" s="84"/>
      <c r="G26" s="84"/>
      <c r="H26" s="84"/>
      <c r="I26" s="85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81"/>
      <c r="B27" s="86"/>
      <c r="E27" s="83"/>
      <c r="F27" s="84"/>
      <c r="G27" s="84"/>
      <c r="H27" s="84"/>
      <c r="I27" s="85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81"/>
      <c r="B28" s="1"/>
      <c r="C28" s="1"/>
      <c r="D28" s="1"/>
      <c r="E28" s="1"/>
      <c r="F28" s="84"/>
      <c r="G28" s="84"/>
      <c r="H28" s="84"/>
      <c r="I28" s="85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75" customHeight="1">
      <c r="A29" s="81"/>
      <c r="B29" s="82"/>
      <c r="E29" s="83"/>
      <c r="F29" s="84"/>
      <c r="G29" s="84"/>
      <c r="H29" s="84"/>
      <c r="I29" s="85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75" customHeight="1">
      <c r="A30" s="81"/>
      <c r="B30" s="82"/>
      <c r="E30" s="83"/>
      <c r="F30" s="84"/>
      <c r="G30" s="84"/>
      <c r="H30" s="84"/>
      <c r="I30" s="85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81"/>
      <c r="B31" s="82"/>
      <c r="E31" s="83"/>
      <c r="F31" s="82"/>
      <c r="G31" s="82"/>
      <c r="H31" s="82"/>
      <c r="I31" s="87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81"/>
      <c r="B32" s="82"/>
      <c r="E32" s="83"/>
      <c r="F32" s="82"/>
      <c r="G32" s="82"/>
      <c r="H32" s="82"/>
      <c r="I32" s="87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ht="15.75" customHeight="1">
      <c r="A33" s="81"/>
      <c r="B33" s="82"/>
      <c r="E33" s="83"/>
      <c r="F33" s="82"/>
      <c r="G33" s="82"/>
      <c r="H33" s="82"/>
      <c r="I33" s="87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ht="15.75" customHeight="1">
      <c r="A34" s="81"/>
      <c r="B34" s="82"/>
      <c r="E34" s="83"/>
      <c r="F34" s="82"/>
      <c r="G34" s="82"/>
      <c r="H34" s="82"/>
      <c r="I34" s="87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ht="15.75" customHeight="1">
      <c r="A35" s="81"/>
      <c r="B35" s="82"/>
      <c r="E35" s="83"/>
      <c r="F35" s="82"/>
      <c r="G35" s="82"/>
      <c r="H35" s="88"/>
      <c r="I35" s="87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ht="15.75" customHeight="1">
      <c r="A36" s="81"/>
      <c r="B36" s="89"/>
      <c r="E36" s="83"/>
      <c r="F36" s="89"/>
      <c r="G36" s="90"/>
      <c r="H36" s="91"/>
      <c r="I36" s="9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ht="15.75" customHeight="1">
      <c r="A37" s="81"/>
      <c r="B37" s="89"/>
      <c r="E37" s="83"/>
      <c r="F37" s="93"/>
      <c r="G37" s="89"/>
      <c r="H37" s="93"/>
      <c r="I37" s="92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ht="15.75" customHeight="1">
      <c r="A38" s="81"/>
      <c r="B38" s="89"/>
      <c r="E38" s="83"/>
      <c r="F38" s="93"/>
      <c r="G38" s="89"/>
      <c r="H38" s="93"/>
      <c r="I38" s="92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ht="15.75" customHeight="1">
      <c r="A39" s="81"/>
      <c r="B39" s="89"/>
      <c r="E39" s="83"/>
      <c r="F39" s="89"/>
      <c r="G39" s="90"/>
      <c r="H39" s="90"/>
      <c r="I39" s="94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ht="15.75" customHeight="1">
      <c r="A40" s="81"/>
      <c r="B40" s="89"/>
      <c r="E40" s="83"/>
      <c r="F40" s="89"/>
      <c r="G40" s="95"/>
      <c r="H40" s="96"/>
      <c r="I40" s="97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ht="39.75" customHeight="1">
      <c r="A41" s="98"/>
      <c r="B41" s="99"/>
      <c r="C41" s="100"/>
      <c r="D41" s="100"/>
      <c r="E41" s="101"/>
      <c r="F41" s="102"/>
      <c r="G41" s="99" t="s">
        <v>38</v>
      </c>
      <c r="H41" s="103"/>
      <c r="I41" s="104">
        <f>I23+I24+I25+I26+I27+I28+I29+I30+I31+I32+I33+I34+I35+I36+I37+I38+I39+I40</f>
        <v>4240</v>
      </c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ht="27.75" customHeight="1">
      <c r="A42" s="105"/>
      <c r="B42" s="106"/>
      <c r="C42" s="106"/>
      <c r="D42" s="106"/>
      <c r="E42" s="106"/>
      <c r="F42" s="107"/>
      <c r="G42" s="108" t="s">
        <v>39</v>
      </c>
      <c r="H42" s="109">
        <v>0.09</v>
      </c>
      <c r="I42" s="110">
        <f>H42*I41</f>
        <v>381.6</v>
      </c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ht="21.75" customHeight="1">
      <c r="A43" s="111" t="s">
        <v>40</v>
      </c>
      <c r="F43" s="83"/>
      <c r="G43" s="112" t="s">
        <v>41</v>
      </c>
      <c r="H43" s="113">
        <v>0.09</v>
      </c>
      <c r="I43" s="114">
        <f>H43*I41</f>
        <v>381.6</v>
      </c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ht="30.75" customHeight="1">
      <c r="A44" s="115"/>
      <c r="B44" s="116"/>
      <c r="C44" s="116"/>
      <c r="D44" s="116"/>
      <c r="E44" s="116"/>
      <c r="F44" s="117"/>
      <c r="G44" s="118" t="s">
        <v>42</v>
      </c>
      <c r="H44" s="25"/>
      <c r="I44" s="119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ht="24.75" customHeight="1">
      <c r="A45" s="120"/>
      <c r="B45" s="121"/>
      <c r="C45" s="121"/>
      <c r="D45" s="121"/>
      <c r="E45" s="121"/>
      <c r="F45" s="121"/>
      <c r="G45" s="122" t="s">
        <v>43</v>
      </c>
      <c r="H45" s="23"/>
      <c r="I45" s="123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ht="21.75" customHeight="1">
      <c r="A46" s="115"/>
      <c r="B46" s="116"/>
      <c r="C46" s="116"/>
      <c r="D46" s="116"/>
      <c r="E46" s="116"/>
      <c r="F46" s="116"/>
      <c r="G46" s="122" t="s">
        <v>44</v>
      </c>
      <c r="H46" s="23"/>
      <c r="I46" s="124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ht="24.75" customHeight="1">
      <c r="A47" s="125" t="s">
        <v>45</v>
      </c>
      <c r="B47" s="68"/>
      <c r="C47" s="68"/>
      <c r="D47" s="68"/>
      <c r="E47" s="68"/>
      <c r="F47" s="69"/>
      <c r="G47" s="126" t="s">
        <v>46</v>
      </c>
      <c r="H47" s="127"/>
      <c r="I47" s="128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ht="18.75" customHeight="1">
      <c r="A48" s="129" t="str">
        <f>SpellNumber(I49)</f>
        <v>#NAME?</v>
      </c>
      <c r="B48" s="25"/>
      <c r="C48" s="25"/>
      <c r="D48" s="25"/>
      <c r="E48" s="25"/>
      <c r="F48" s="25"/>
      <c r="G48" s="25"/>
      <c r="H48" s="130"/>
      <c r="I48" s="13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ht="30.0" customHeight="1">
      <c r="A49" s="132"/>
      <c r="B49" s="43"/>
      <c r="C49" s="43"/>
      <c r="D49" s="43"/>
      <c r="E49" s="43"/>
      <c r="F49" s="44"/>
      <c r="G49" s="133" t="s">
        <v>47</v>
      </c>
      <c r="H49" s="134"/>
      <c r="I49" s="135">
        <f>I41+I42+I43</f>
        <v>5003.2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ht="15.75" customHeight="1">
      <c r="A50" s="136" t="s">
        <v>48</v>
      </c>
      <c r="B50" s="68"/>
      <c r="C50" s="68"/>
      <c r="D50" s="68"/>
      <c r="E50" s="68"/>
      <c r="F50" s="68"/>
      <c r="G50" s="69"/>
      <c r="H50" s="67"/>
      <c r="I50" s="137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ht="15.75" customHeight="1">
      <c r="A51" s="138"/>
      <c r="B51" s="43"/>
      <c r="C51" s="43"/>
      <c r="D51" s="43"/>
      <c r="E51" s="43"/>
      <c r="F51" s="43"/>
      <c r="G51" s="44"/>
      <c r="H51" s="73"/>
      <c r="I51" s="139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ht="15.75" customHeight="1">
      <c r="A52" s="140" t="s">
        <v>49</v>
      </c>
      <c r="B52" s="68"/>
      <c r="C52" s="68"/>
      <c r="D52" s="68"/>
      <c r="E52" s="68"/>
      <c r="F52" s="68"/>
      <c r="G52" s="69"/>
      <c r="H52" s="141" t="s">
        <v>50</v>
      </c>
      <c r="I52" s="137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ht="15.75" customHeight="1">
      <c r="A53" s="142"/>
      <c r="G53" s="83"/>
      <c r="H53" s="143"/>
      <c r="I53" s="144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40.5" customHeight="1">
      <c r="A54" s="142"/>
      <c r="G54" s="83"/>
      <c r="H54" s="143"/>
      <c r="I54" s="144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42"/>
      <c r="G55" s="83"/>
      <c r="H55" s="145" t="s">
        <v>51</v>
      </c>
      <c r="I55" s="59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7.25" customHeight="1">
      <c r="A56" s="138"/>
      <c r="B56" s="43"/>
      <c r="C56" s="43"/>
      <c r="D56" s="43"/>
      <c r="E56" s="43"/>
      <c r="F56" s="43"/>
      <c r="G56" s="44"/>
      <c r="H56" s="146" t="s">
        <v>52</v>
      </c>
      <c r="I56" s="147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48" t="s">
        <v>53</v>
      </c>
      <c r="B57" s="149"/>
      <c r="C57" s="149"/>
      <c r="D57" s="149"/>
      <c r="E57" s="149"/>
      <c r="F57" s="149"/>
      <c r="G57" s="149"/>
      <c r="H57" s="150"/>
      <c r="I57" s="15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0.75" customHeight="1">
      <c r="A58" s="152"/>
      <c r="B58" s="153"/>
      <c r="C58" s="153"/>
      <c r="D58" s="153"/>
      <c r="E58" s="153"/>
      <c r="F58" s="153"/>
      <c r="G58" s="153"/>
      <c r="H58" s="153"/>
      <c r="I58" s="154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62">
    <mergeCell ref="B38:E38"/>
    <mergeCell ref="B39:E39"/>
    <mergeCell ref="B40:E40"/>
    <mergeCell ref="B41:E41"/>
    <mergeCell ref="A43:F43"/>
    <mergeCell ref="G44:H44"/>
    <mergeCell ref="G45:H45"/>
    <mergeCell ref="A50:G51"/>
    <mergeCell ref="A52:G56"/>
    <mergeCell ref="H55:I55"/>
    <mergeCell ref="G46:H46"/>
    <mergeCell ref="A47:F47"/>
    <mergeCell ref="G47:H47"/>
    <mergeCell ref="A48:H48"/>
    <mergeCell ref="A49:F49"/>
    <mergeCell ref="G49:H49"/>
    <mergeCell ref="H50:I51"/>
    <mergeCell ref="H52:I52"/>
    <mergeCell ref="A3:C3"/>
    <mergeCell ref="D3:G3"/>
    <mergeCell ref="H3:I3"/>
    <mergeCell ref="A4:I4"/>
    <mergeCell ref="A5:I5"/>
    <mergeCell ref="A6:I6"/>
    <mergeCell ref="A7:F7"/>
    <mergeCell ref="A8:F8"/>
    <mergeCell ref="G8:I8"/>
    <mergeCell ref="A9:F9"/>
    <mergeCell ref="A10:F10"/>
    <mergeCell ref="G10:I10"/>
    <mergeCell ref="A11:C11"/>
    <mergeCell ref="G11:I11"/>
    <mergeCell ref="A12:F12"/>
    <mergeCell ref="G12:I12"/>
    <mergeCell ref="A13:I13"/>
    <mergeCell ref="A14:F14"/>
    <mergeCell ref="A15:F15"/>
    <mergeCell ref="A16:F16"/>
    <mergeCell ref="A17:F17"/>
    <mergeCell ref="H21:H22"/>
    <mergeCell ref="I21:I22"/>
    <mergeCell ref="A18:F18"/>
    <mergeCell ref="A19:F19"/>
    <mergeCell ref="A20:F20"/>
    <mergeCell ref="A21:A22"/>
    <mergeCell ref="B21:E22"/>
    <mergeCell ref="F21:F22"/>
    <mergeCell ref="G21:G22"/>
    <mergeCell ref="B23:E23"/>
    <mergeCell ref="B24:E24"/>
    <mergeCell ref="B25:E25"/>
    <mergeCell ref="B26:E26"/>
    <mergeCell ref="B27:E27"/>
    <mergeCell ref="B29:E29"/>
    <mergeCell ref="B30:E30"/>
    <mergeCell ref="B31:E31"/>
    <mergeCell ref="B32:E32"/>
    <mergeCell ref="B33:E33"/>
    <mergeCell ref="B34:E34"/>
    <mergeCell ref="B35:E35"/>
    <mergeCell ref="B36:E36"/>
    <mergeCell ref="B37:E37"/>
  </mergeCells>
  <printOptions horizontalCentered="1"/>
  <pageMargins bottom="0.0" footer="0.0" header="0.0" left="0.0" right="0.0" top="0.31"/>
  <pageSetup paperSize="9" scale="70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2005-04-29T10:29:39Z</dcterms:created>
  <dc:creator>Ram</dc:creator>
</cp:coreProperties>
</file>